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 xmlns:r="http://schemas.openxmlformats.org/officeDocument/2006/relationships" name="Summary" sheetId="2" state="visible" r:id="rId2"/>
  </sheets>
  <definedNames>
    <definedName name="_xlnm._FilterDatabase" localSheetId="0" hidden="1">'Listings'!$A$1:$U$14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0.0"/>
  </numFmts>
  <fonts count="4">
    <font>
      <name val="Calibri"/>
      <family val="2"/>
      <color theme="1"/>
      <sz val="11"/>
      <scheme val="minor"/>
    </font>
    <font>
      <b val="1"/>
      <color rgb="00FFFFFF"/>
    </font>
    <font>
      <name val="Calibri"/>
      <family val="2"/>
      <color theme="10"/>
      <sz val="12"/>
      <scheme val="minor"/>
    </font>
    <font>
      <b val="1"/>
      <color rgb="00FFFFFF"/>
      <sz val="14"/>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3" fontId="0" fillId="0" borderId="0" applyAlignment="1" pivotButton="0" quotePrefix="0" xfId="0">
      <alignment vertical="top" wrapText="1"/>
    </xf>
    <xf numFmtId="165" fontId="0" fillId="0" borderId="0" applyAlignment="1" pivotButton="0" quotePrefix="0" xfId="0">
      <alignment vertical="top" wrapText="1"/>
    </xf>
    <xf numFmtId="0" fontId="2" fillId="0" borderId="0" pivotButton="0" quotePrefix="0" xfId="1"/>
    <xf numFmtId="0" fontId="3" fillId="2" borderId="0" applyAlignment="1" pivotButton="0" quotePrefix="0" xfId="0">
      <alignment vertical="top" wrapText="1"/>
    </xf>
    <xf numFmtId="0" fontId="1" fillId="2" borderId="0" applyAlignment="1" pivotButton="0" quotePrefix="0" xfId="0">
      <alignment vertical="top" wrapText="1"/>
    </xf>
    <xf numFmtId="166"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ZillowListings" displayName="ZillowListings" ref="A1:U14" headerRowCount="1">
  <autoFilter ref="A1:U14"/>
  <tableColumns count="21">
    <tableColumn id="1" name="Address"/>
    <tableColumn id="2" name="Status"/>
    <tableColumn id="3" name="Price"/>
    <tableColumn id="4" name="Beds"/>
    <tableColumn id="5" name="Baths"/>
    <tableColumn id="6" name="Sqft"/>
    <tableColumn id="7" name="Property Type"/>
    <tableColumn id="8" name="Year Built"/>
    <tableColumn id="9" name="House Age (yrs)"/>
    <tableColumn id="10" name="Lot Size"/>
    <tableColumn id="11" name="Price/Sqft"/>
    <tableColumn id="12" name="Zestimate"/>
    <tableColumn id="13" name="HOA/mo"/>
    <tableColumn id="14" name="Annual Taxes"/>
    <tableColumn id="15" name="Date on Market"/>
    <tableColumn id="16" name="Days on Zillow"/>
    <tableColumn id="17" name="Views"/>
    <tableColumn id="18" name="Saves"/>
    <tableColumn id="19" name="Highlights"/>
    <tableColumn id="20" name="Full Description"/>
    <tableColumn id="21" name="Source URL"/>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illow.com/homedetails/422-S-Main-St-West-Hartford-CT-06110/57783557_zpid/" TargetMode="External" Id="rId1"/><Relationship Type="http://schemas.openxmlformats.org/officeDocument/2006/relationships/hyperlink" Target="https://www.zillow.com/homedetails/115-Mayflower-St-West-Hartford-CT-06110/174205021_zpid/" TargetMode="External" Id="rId2"/><Relationship Type="http://schemas.openxmlformats.org/officeDocument/2006/relationships/hyperlink" Target="https://www.zillow.com/homedetails/84-High-Farms-Rd-West-Hartford-CT-06107/57778884_zpid/" TargetMode="External" Id="rId3"/><Relationship Type="http://schemas.openxmlformats.org/officeDocument/2006/relationships/hyperlink" Target="https://www.zillow.com/homedetails/225-Auburn-Rd-West-Hartford-CT-06119/59023314_zpid/" TargetMode="External" Id="rId4"/><Relationship Type="http://schemas.openxmlformats.org/officeDocument/2006/relationships/hyperlink" Target="https://www.zillow.com/homedetails/344-N-Steele-Rd-West-Hartford-CT-06117/57781285_zpid/" TargetMode="External" Id="rId5"/><Relationship Type="http://schemas.openxmlformats.org/officeDocument/2006/relationships/hyperlink" Target="https://www.zillow.com/homedetails/85-Bloomfield-Ave-West-Hartford-CT-06105/111442598_zpid/" TargetMode="External" Id="rId6"/><Relationship Type="http://schemas.openxmlformats.org/officeDocument/2006/relationships/hyperlink" Target="https://www.zillow.com/homedetails/1-King-Philip-Dr-UNIT-301-West-Hartford-CT-06117/82392461_zpid/" TargetMode="External" Id="rId7"/><Relationship Type="http://schemas.openxmlformats.org/officeDocument/2006/relationships/hyperlink" Target="https://www.zillow.com/homedetails/50-Hillcrest-Ave-West-Hartford-CT-06110/57779009_zpid/" TargetMode="External" Id="rId8"/><Relationship Type="http://schemas.openxmlformats.org/officeDocument/2006/relationships/hyperlink" Target="https://www.zillow.com/homedetails/41-Timberwood-Rd-UNIT-41-West-Hartford-CT-06117/2078525825_zpid/" TargetMode="External" Id="rId9"/><Relationship Type="http://schemas.openxmlformats.org/officeDocument/2006/relationships/hyperlink" Target="https://www.zillow.com/homedetails/60-Fox-Chase-Ln-West-Hartford-CT-06107/57778130_zpid/" TargetMode="External" Id="rId10"/><Relationship Type="http://schemas.openxmlformats.org/officeDocument/2006/relationships/hyperlink" Target="https://www.zillow.com/homedetails/75-Bloomfield-Ave-West-Hartford-CT-06105/57775324_zpid/" TargetMode="External" Id="rId11"/><Relationship Type="http://schemas.openxmlformats.org/officeDocument/2006/relationships/hyperlink" Target="https://www.zillow.com/homedetails/342-S-Main-St-West-Hartford-CT-06107/58156844_zpid/" TargetMode="External" Id="rId12"/><Relationship Type="http://schemas.openxmlformats.org/officeDocument/2006/relationships/hyperlink" Target="https://www.zillow.com/homedetails/19-Westfield-Rd-West-Hartford-CT-06119/57785049_zpid/" TargetMode="External" Id="rId13"/><Relationship Type="http://schemas.openxmlformats.org/officeDocument/2006/relationships/table" Target="/xl/tables/table1.xml" Id="rId14"/></Relationships>
</file>

<file path=xl/worksheets/sheet1.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7" customWidth="1" min="4" max="4"/>
    <col width="7" customWidth="1" min="5" max="5"/>
    <col width="10" customWidth="1" min="6" max="6"/>
    <col width="22" customWidth="1" min="7" max="7"/>
    <col width="11" customWidth="1" min="8" max="8"/>
    <col width="12" customWidth="1" min="9" max="9"/>
    <col width="16" customWidth="1" min="10" max="10"/>
    <col width="11" customWidth="1" min="11" max="11"/>
    <col width="12" customWidth="1" min="12" max="12"/>
    <col width="10" customWidth="1" min="13" max="13"/>
    <col width="12" customWidth="1" min="14" max="14"/>
    <col width="13" customWidth="1" min="15" max="15"/>
    <col width="14" customWidth="1" min="16" max="16"/>
    <col width="10" customWidth="1" min="17" max="17"/>
    <col width="8" customWidth="1" min="18" max="18"/>
    <col width="36" customWidth="1" min="19" max="19"/>
    <col width="80" customWidth="1" min="20" max="20"/>
    <col width="42" customWidth="1" min="21" max="21"/>
  </cols>
  <sheetData>
    <row r="1">
      <c r="A1" s="1" t="inlineStr">
        <is>
          <t>Address</t>
        </is>
      </c>
      <c r="B1" s="1" t="inlineStr">
        <is>
          <t>Status</t>
        </is>
      </c>
      <c r="C1" s="1" t="inlineStr">
        <is>
          <t>Price</t>
        </is>
      </c>
      <c r="D1" s="1" t="inlineStr">
        <is>
          <t>Beds</t>
        </is>
      </c>
      <c r="E1" s="1" t="inlineStr">
        <is>
          <t>Baths</t>
        </is>
      </c>
      <c r="F1" s="1" t="inlineStr">
        <is>
          <t>Sqft</t>
        </is>
      </c>
      <c r="G1" s="1" t="inlineStr">
        <is>
          <t>Property Type</t>
        </is>
      </c>
      <c r="H1" s="1" t="inlineStr">
        <is>
          <t>Year Built</t>
        </is>
      </c>
      <c r="I1" s="1" t="inlineStr">
        <is>
          <t>House Age (yrs)</t>
        </is>
      </c>
      <c r="J1" s="1" t="inlineStr">
        <is>
          <t>Lot Size</t>
        </is>
      </c>
      <c r="K1" s="1" t="inlineStr">
        <is>
          <t>Price/Sqft</t>
        </is>
      </c>
      <c r="L1" s="1" t="inlineStr">
        <is>
          <t>Zestimate</t>
        </is>
      </c>
      <c r="M1" s="1" t="inlineStr">
        <is>
          <t>HOA/mo</t>
        </is>
      </c>
      <c r="N1" s="1" t="inlineStr">
        <is>
          <t>Annual Taxes</t>
        </is>
      </c>
      <c r="O1" s="1" t="inlineStr">
        <is>
          <t>Date on Market</t>
        </is>
      </c>
      <c r="P1" s="1" t="inlineStr">
        <is>
          <t>Days on Zillow</t>
        </is>
      </c>
      <c r="Q1" s="1" t="inlineStr">
        <is>
          <t>Views</t>
        </is>
      </c>
      <c r="R1" s="1" t="inlineStr">
        <is>
          <t>Saves</t>
        </is>
      </c>
      <c r="S1" s="1" t="inlineStr">
        <is>
          <t>Highlights</t>
        </is>
      </c>
      <c r="T1" s="1" t="inlineStr">
        <is>
          <t>Full Description</t>
        </is>
      </c>
      <c r="U1" s="1" t="inlineStr">
        <is>
          <t>Source URL</t>
        </is>
      </c>
    </row>
    <row r="2">
      <c r="A2" s="2" t="inlineStr">
        <is>
          <t>422 South Main Street, West Hartford, CT 06110</t>
        </is>
      </c>
      <c r="B2" s="2" t="inlineStr">
        <is>
          <t>For sale</t>
        </is>
      </c>
      <c r="C2" s="3" t="n">
        <v>339000</v>
      </c>
      <c r="D2" s="4" t="n">
        <v>2</v>
      </c>
      <c r="E2" s="4" t="n">
        <v>1</v>
      </c>
      <c r="F2" s="5" t="n">
        <v>1038</v>
      </c>
      <c r="G2" s="2" t="inlineStr">
        <is>
          <t>Single Family Residence</t>
        </is>
      </c>
      <c r="H2" s="4" t="n">
        <v>1954</v>
      </c>
      <c r="I2" s="4">
        <f>IF(ISNUMBER(H2),2026-H2,"")</f>
        <v/>
      </c>
      <c r="J2" s="2" t="inlineStr">
        <is>
          <t>0.26 Acres</t>
        </is>
      </c>
      <c r="K2" s="3" t="n">
        <v>327</v>
      </c>
      <c r="L2" s="3" t="n"/>
      <c r="M2" s="3" t="n"/>
      <c r="N2" s="3" t="n">
        <v>6476</v>
      </c>
      <c r="O2" s="6" t="inlineStr">
        <is>
          <t>2026-03-23</t>
        </is>
      </c>
      <c r="P2" s="2" t="inlineStr">
        <is>
          <t>2 days</t>
        </is>
      </c>
      <c r="Q2" s="5" t="n">
        <v>1626</v>
      </c>
      <c r="R2" s="5" t="n">
        <v>50</v>
      </c>
      <c r="S2" s="2" t="inlineStr">
        <is>
          <t>Attached one-car garage; tile flooring; breakfast bar; stylish backsplash; spacious lower level; replacement windows; hardwood floors</t>
        </is>
      </c>
      <c r="T2" s="2" t="inlineStr">
        <is>
          <t>Welcome to 422 South Main Street, a charming, well-maintained ranch that offers an incredible entry point into West Hartford. This move-in-ready home features beautiful hardwood floors, replacement windows, updated counters, tile flooring, a stylish backsplash, breakfast bar, movable island, attached one-car garage, and a spacious lower level with expansion potential. Although the address is on South Main, access is via a private lane off Winthrop Road for a more private feel. The elevated backyard area offers space for gardening, games, or relaxing.</t>
        </is>
      </c>
      <c r="U2" s="7" t="inlineStr">
        <is>
          <t>https://www.zillow.com/homedetails/422-S-Main-St-West-Hartford-CT-06110/57783557_zpid/</t>
        </is>
      </c>
    </row>
    <row r="3">
      <c r="A3" s="2" t="inlineStr">
        <is>
          <t>115 Mayflower Street, West Hartford, CT 06110</t>
        </is>
      </c>
      <c r="B3" s="2" t="inlineStr">
        <is>
          <t>For sale</t>
        </is>
      </c>
      <c r="C3" s="3" t="n">
        <v>345000</v>
      </c>
      <c r="D3" s="4" t="n">
        <v>3</v>
      </c>
      <c r="E3" s="4" t="n">
        <v>2</v>
      </c>
      <c r="F3" s="5" t="n">
        <v>1096</v>
      </c>
      <c r="G3" s="2" t="inlineStr">
        <is>
          <t>Single Family Residence</t>
        </is>
      </c>
      <c r="H3" s="4" t="n">
        <v>1943</v>
      </c>
      <c r="I3" s="4">
        <f>IF(ISNUMBER(H3),2026-H3,"")</f>
        <v/>
      </c>
      <c r="J3" s="2" t="inlineStr">
        <is>
          <t>10,018.8 sq ft</t>
        </is>
      </c>
      <c r="K3" s="3" t="n">
        <v>315</v>
      </c>
      <c r="L3" s="3" t="n"/>
      <c r="M3" s="3" t="n"/>
      <c r="N3" s="3" t="n">
        <v>5509</v>
      </c>
      <c r="O3" s="6" t="inlineStr">
        <is>
          <t>2026-03-23</t>
        </is>
      </c>
      <c r="P3" s="2" t="inlineStr">
        <is>
          <t>2 days</t>
        </is>
      </c>
      <c r="Q3" s="5" t="n">
        <v>1362</v>
      </c>
      <c r="R3" s="5" t="n">
        <v>29</v>
      </c>
      <c r="S3" s="2" t="inlineStr">
        <is>
          <t>Butcher block counters; spacious yard; stainless steel appliances; leased through 8/15/26</t>
        </is>
      </c>
      <c r="T3" s="2" t="inlineStr">
        <is>
          <t>Attention investors: this single-family home is leased with a quality tenant through 8/15/26 at $2,575 plus utilities. The tenant handles lawn care and snow removal, making this a turn-key investment opportunity. The home features 3 bedrooms plus a home office (or 4th bedroom option), 2 full bathrooms, an open flow between the living room, dining room, and kitchen, and hardwood floors in most rooms.</t>
        </is>
      </c>
      <c r="U3" s="7" t="inlineStr">
        <is>
          <t>https://www.zillow.com/homedetails/115-Mayflower-St-West-Hartford-CT-06110/174205021_zpid/</t>
        </is>
      </c>
    </row>
    <row r="4">
      <c r="A4" s="2" t="inlineStr">
        <is>
          <t>84 High Farms Road, West Hartford, CT 06107</t>
        </is>
      </c>
      <c r="B4" s="2" t="inlineStr">
        <is>
          <t>For sale</t>
        </is>
      </c>
      <c r="C4" s="3" t="n">
        <v>850000</v>
      </c>
      <c r="D4" s="4" t="n">
        <v>4</v>
      </c>
      <c r="E4" s="4" t="n">
        <v>3</v>
      </c>
      <c r="F4" s="5" t="n">
        <v>2598</v>
      </c>
      <c r="G4" s="2" t="inlineStr">
        <is>
          <t>Single Family Residence</t>
        </is>
      </c>
      <c r="H4" s="4" t="n">
        <v>1956</v>
      </c>
      <c r="I4" s="4">
        <f>IF(ISNUMBER(H4),2026-H4,"")</f>
        <v/>
      </c>
      <c r="J4" s="2" t="inlineStr">
        <is>
          <t>0.90 Acres</t>
        </is>
      </c>
      <c r="K4" s="3" t="n">
        <v>327</v>
      </c>
      <c r="L4" s="3" t="n"/>
      <c r="M4" s="3" t="n"/>
      <c r="N4" s="3" t="n">
        <v>17833</v>
      </c>
      <c r="O4" s="6" t="inlineStr">
        <is>
          <t>2026-03-19</t>
        </is>
      </c>
      <c r="P4" s="2" t="inlineStr">
        <is>
          <t>6 days</t>
        </is>
      </c>
      <c r="Q4" s="5" t="n">
        <v>4913</v>
      </c>
      <c r="R4" s="5" t="n">
        <v>180</v>
      </c>
      <c r="S4" s="2" t="inlineStr">
        <is>
          <t>Updated layout; southern exposure; expansive windows; 2 attached garage spaces</t>
        </is>
      </c>
      <c r="T4" s="2" t="inlineStr">
        <is>
          <t>A beautifully updated and thoughtfully designed home near the top of one of West Hartford's most desirable streets. Offering over 2,600 square feet of living space, this 4-bedroom, 2.5-bath residence is filled with natural light thanks to southern exposure and expansive windows throughout. The listing description shown on Zillow is truncated in the parsed page.</t>
        </is>
      </c>
      <c r="U4" s="7" t="inlineStr">
        <is>
          <t>https://www.zillow.com/homedetails/84-High-Farms-Rd-West-Hartford-CT-06107/57778884_zpid/</t>
        </is>
      </c>
    </row>
    <row r="5">
      <c r="A5" s="2" t="inlineStr">
        <is>
          <t>225 Auburn Road, West Hartford, CT 06119</t>
        </is>
      </c>
      <c r="B5" s="2" t="inlineStr">
        <is>
          <t>For sale</t>
        </is>
      </c>
      <c r="C5" s="3" t="n">
        <v>550000</v>
      </c>
      <c r="D5" s="4" t="n">
        <v>4</v>
      </c>
      <c r="E5" s="4" t="n">
        <v>3</v>
      </c>
      <c r="F5" s="5" t="n">
        <v>2006</v>
      </c>
      <c r="G5" s="2" t="inlineStr">
        <is>
          <t>Single Family Residence</t>
        </is>
      </c>
      <c r="H5" s="4" t="n">
        <v>1935</v>
      </c>
      <c r="I5" s="4">
        <f>IF(ISNUMBER(H5),2026-H5,"")</f>
        <v/>
      </c>
      <c r="J5" s="2" t="inlineStr">
        <is>
          <t>9,147.6 sq ft</t>
        </is>
      </c>
      <c r="K5" s="3" t="n">
        <v>274</v>
      </c>
      <c r="L5" s="3" t="n"/>
      <c r="M5" s="3" t="n"/>
      <c r="N5" s="3" t="n">
        <v>11090</v>
      </c>
      <c r="O5" s="6" t="inlineStr">
        <is>
          <t>2026-03-25</t>
        </is>
      </c>
      <c r="P5" s="2" t="inlineStr">
        <is>
          <t>15 minutes</t>
        </is>
      </c>
      <c r="Q5" s="5" t="n">
        <v>137</v>
      </c>
      <c r="R5" s="5" t="n">
        <v>8</v>
      </c>
      <c r="S5" s="2" t="inlineStr">
        <is>
          <t>Central air; cathedral ceiling; natural light; inviting family room; fresh neutral paint palette; wood stove</t>
        </is>
      </c>
      <c r="T5" s="2" t="inlineStr">
        <is>
          <t>A meticulously maintained 2,006-square-foot Colonial that blends classic New England charm with modern convenience. Located near Morley Elementary School and Trout Brook Trail, the home offers strong access to West Hartford Center and Blue Back Square. The listing highlights central air, cathedral ceiling, great natural light, an inviting family room, fresh neutral paint, and a wood stove for heat.</t>
        </is>
      </c>
      <c r="U5" s="7" t="inlineStr">
        <is>
          <t>https://www.zillow.com/homedetails/225-Auburn-Rd-West-Hartford-CT-06119/59023314_zpid/</t>
        </is>
      </c>
    </row>
    <row r="6">
      <c r="A6" s="2" t="inlineStr">
        <is>
          <t>344 North Steele Road, West Hartford, CT 06117</t>
        </is>
      </c>
      <c r="B6" s="2" t="inlineStr">
        <is>
          <t>For sale</t>
        </is>
      </c>
      <c r="C6" s="3" t="n">
        <v>799000</v>
      </c>
      <c r="D6" s="4" t="n">
        <v>5</v>
      </c>
      <c r="E6" s="4" t="n">
        <v>4</v>
      </c>
      <c r="F6" s="5" t="n">
        <v>3459</v>
      </c>
      <c r="G6" s="2" t="inlineStr">
        <is>
          <t>Single Family Residence</t>
        </is>
      </c>
      <c r="H6" s="4" t="n">
        <v>1936</v>
      </c>
      <c r="I6" s="4">
        <f>IF(ISNUMBER(H6),2026-H6,"")</f>
        <v/>
      </c>
      <c r="J6" s="2" t="inlineStr">
        <is>
          <t>0.33 Acres</t>
        </is>
      </c>
      <c r="K6" s="3" t="n">
        <v>231</v>
      </c>
      <c r="L6" s="3" t="n">
        <v>970100</v>
      </c>
      <c r="M6" s="3" t="n"/>
      <c r="N6" s="3" t="n">
        <v>18532</v>
      </c>
      <c r="O6" s="6" t="inlineStr">
        <is>
          <t>2026-03-25</t>
        </is>
      </c>
      <c r="P6" s="2" t="inlineStr">
        <is>
          <t>9 hours</t>
        </is>
      </c>
      <c r="Q6" s="5" t="n">
        <v>1995</v>
      </c>
      <c r="R6" s="5" t="n">
        <v>95</v>
      </c>
      <c r="S6" s="2" t="inlineStr">
        <is>
          <t>Grand Tudor brick; Hartford Golf Club Historic District; slate roof; hardwood floors; front and back staircases</t>
        </is>
      </c>
      <c r="T6" s="2" t="inlineStr">
        <is>
          <t>Grand Tudor brick home in the Hartford Golf Club Historic District, steps from Elizabeth Park. This 3,459-square-foot residence features a beautifully maintained slate roof, hardwood floors, front and back staircases, and significant updates including a new energy-efficient natural gas furnace/central air system with heat pump, humidifier, HEPA filters, smart thermostat, new 75-gallon water heater, and fresh interior and exterior paint.</t>
        </is>
      </c>
      <c r="U6" s="7" t="inlineStr">
        <is>
          <t>https://www.zillow.com/homedetails/344-N-Steele-Rd-West-Hartford-CT-06117/57781285_zpid/</t>
        </is>
      </c>
    </row>
    <row r="7">
      <c r="A7" s="2" t="inlineStr">
        <is>
          <t>85 Bloomfield Avenue, West Hartford, CT 06105</t>
        </is>
      </c>
      <c r="B7" s="2" t="inlineStr">
        <is>
          <t>For sale</t>
        </is>
      </c>
      <c r="C7" s="3" t="n">
        <v>1050000</v>
      </c>
      <c r="D7" s="4" t="n">
        <v>9</v>
      </c>
      <c r="E7" s="4" t="n">
        <v>7</v>
      </c>
      <c r="F7" s="5" t="n">
        <v>6291</v>
      </c>
      <c r="G7" s="2" t="inlineStr">
        <is>
          <t>Single Family Residence</t>
        </is>
      </c>
      <c r="H7" s="4" t="n">
        <v>1915</v>
      </c>
      <c r="I7" s="4">
        <f>IF(ISNUMBER(H7),2026-H7,"")</f>
        <v/>
      </c>
      <c r="J7" s="2" t="inlineStr">
        <is>
          <t>1.9 Acres</t>
        </is>
      </c>
      <c r="K7" s="3" t="n">
        <v>167</v>
      </c>
      <c r="L7" s="3" t="n">
        <v>1523200</v>
      </c>
      <c r="M7" s="3" t="n"/>
      <c r="N7" s="3" t="n">
        <v>33634</v>
      </c>
      <c r="O7" s="6" t="inlineStr">
        <is>
          <t>2026-03-25</t>
        </is>
      </c>
      <c r="P7" s="2" t="inlineStr">
        <is>
          <t>3 hours</t>
        </is>
      </c>
      <c r="Q7" s="5" t="n">
        <v>848</v>
      </c>
      <c r="R7" s="5" t="n">
        <v>45</v>
      </c>
      <c r="S7" s="2" t="inlineStr">
        <is>
          <t>Classic columns; soaring ceilings; two-car garage; sun-filled sunroom; butler's pantry; greenhouse; covered patio</t>
        </is>
      </c>
      <c r="T7" s="2" t="inlineStr">
        <is>
          <t>A Colonial Revival residence with stately facades, classic columns, and detailed doorways. Built during Hartford's period of urban expansion, the home pairs thick masonry walls with elegant interior spaces, soaring ceilings, and refined architectural details. The listing notes 9 bedrooms and 5 full baths, an oversized commercial-grade range, abundant cabinetry, a butler's pantry, sun-filled sunroom, first-floor office with bookcases, greenhouse, covered patio, and 1.9 acres on a private road.</t>
        </is>
      </c>
      <c r="U7" s="7" t="inlineStr">
        <is>
          <t>https://www.zillow.com/homedetails/85-Bloomfield-Ave-West-Hartford-CT-06105/111442598_zpid/</t>
        </is>
      </c>
    </row>
    <row r="8">
      <c r="A8" s="2" t="inlineStr">
        <is>
          <t>1 King Philip Drive #301, West Hartford, CT 06117</t>
        </is>
      </c>
      <c r="B8" s="2" t="inlineStr">
        <is>
          <t>For sale</t>
        </is>
      </c>
      <c r="C8" s="3" t="n">
        <v>349000</v>
      </c>
      <c r="D8" s="4" t="n">
        <v>2</v>
      </c>
      <c r="E8" s="4" t="n">
        <v>2</v>
      </c>
      <c r="F8" s="5" t="n">
        <v>1211</v>
      </c>
      <c r="G8" s="2" t="inlineStr">
        <is>
          <t>Condominium</t>
        </is>
      </c>
      <c r="H8" s="4" t="n">
        <v>2007</v>
      </c>
      <c r="I8" s="4">
        <f>IF(ISNUMBER(H8),2026-H8,"")</f>
        <v/>
      </c>
      <c r="J8" s="2" t="n"/>
      <c r="K8" s="3" t="n">
        <v>288</v>
      </c>
      <c r="L8" s="3" t="n"/>
      <c r="M8" s="3" t="n">
        <v>775</v>
      </c>
      <c r="N8" s="3" t="n">
        <v>7388</v>
      </c>
      <c r="O8" s="6" t="inlineStr">
        <is>
          <t>2026-03-25</t>
        </is>
      </c>
      <c r="P8" s="2" t="inlineStr">
        <is>
          <t>8 hours</t>
        </is>
      </c>
      <c r="Q8" s="5" t="n">
        <v>302</v>
      </c>
      <c r="R8" s="5" t="n">
        <v>14</v>
      </c>
      <c r="S8" s="2" t="inlineStr">
        <is>
          <t>End unit; new 2024 HVAC; high ceilings; granite kitchen; stainless appliances; gas fireplace; elevator access; detached garage</t>
        </is>
      </c>
      <c r="T8" s="2" t="inlineStr">
        <is>
          <t>Highly desirable end unit in the Somerset community with windows on all sides and updates throughout. New heating and AC equipment were completed in 2024. The condo features high ceilings, crown moldings, California closets, an open floor plan, granite countertops, stainless steel appliances, breakfast bar, bay window, breakfast nook, hardwood floors, cozy gas fireplace, primary suite with double sink vanity, in-unit laundry, central air, elevator access, and a detached garage.</t>
        </is>
      </c>
      <c r="U8" s="7" t="inlineStr">
        <is>
          <t>https://www.zillow.com/homedetails/1-King-Philip-Dr-UNIT-301-West-Hartford-CT-06117/82392461_zpid/</t>
        </is>
      </c>
    </row>
    <row r="9">
      <c r="A9" s="2" t="inlineStr">
        <is>
          <t>50 Hillcrest Avenue, West Hartford, CT 06110</t>
        </is>
      </c>
      <c r="B9" s="2" t="inlineStr">
        <is>
          <t>For sale</t>
        </is>
      </c>
      <c r="C9" s="3" t="n">
        <v>259900</v>
      </c>
      <c r="D9" s="4" t="n">
        <v>2</v>
      </c>
      <c r="E9" s="4" t="n">
        <v>1</v>
      </c>
      <c r="F9" s="5" t="n">
        <v>768</v>
      </c>
      <c r="G9" s="2" t="inlineStr">
        <is>
          <t>Single Family Residence</t>
        </is>
      </c>
      <c r="H9" s="4" t="n">
        <v>1952</v>
      </c>
      <c r="I9" s="4">
        <f>IF(ISNUMBER(H9),2026-H9,"")</f>
        <v/>
      </c>
      <c r="J9" s="2" t="inlineStr">
        <is>
          <t>4,356 sq ft</t>
        </is>
      </c>
      <c r="K9" s="3" t="n">
        <v>338</v>
      </c>
      <c r="L9" s="3" t="n"/>
      <c r="M9" s="3" t="n"/>
      <c r="N9" s="3" t="n">
        <v>5175</v>
      </c>
      <c r="O9" s="6" t="inlineStr">
        <is>
          <t>2026-02-18</t>
        </is>
      </c>
      <c r="P9" s="2" t="inlineStr">
        <is>
          <t>34 days</t>
        </is>
      </c>
      <c r="Q9" s="5" t="n">
        <v>4381</v>
      </c>
      <c r="R9" s="5" t="n">
        <v>166</v>
      </c>
      <c r="S9" s="2" t="inlineStr">
        <is>
          <t>Quiet neighborhood; hardwood floors; bright living spaces; one-level layout</t>
        </is>
      </c>
      <c r="T9" s="2" t="inlineStr">
        <is>
          <t>Tucked into a quiet West Hartford neighborhood, this home offers easy one-level living. Hardwood floors run through much of the main level, natural light brightens the living spaces, and the layout includes 2 bedrooms and 1 full bath. The listing emphasizes comfortable living and practical layout at an accessible price point.</t>
        </is>
      </c>
      <c r="U9" s="7" t="inlineStr">
        <is>
          <t>https://www.zillow.com/homedetails/50-Hillcrest-Ave-West-Hartford-CT-06110/57779009_zpid/</t>
        </is>
      </c>
    </row>
    <row r="10">
      <c r="A10" s="2" t="inlineStr">
        <is>
          <t>41 Timberwood Road #41, West Hartford, CT 06117</t>
        </is>
      </c>
      <c r="B10" s="2" t="inlineStr">
        <is>
          <t>For sale</t>
        </is>
      </c>
      <c r="C10" s="3" t="n">
        <v>490000</v>
      </c>
      <c r="D10" s="4" t="n">
        <v>2</v>
      </c>
      <c r="E10" s="4" t="n">
        <v>3</v>
      </c>
      <c r="F10" s="5" t="n">
        <v>2091</v>
      </c>
      <c r="G10" s="2" t="inlineStr">
        <is>
          <t>Condominium / Townhouse</t>
        </is>
      </c>
      <c r="H10" s="4" t="n">
        <v>1986</v>
      </c>
      <c r="I10" s="4">
        <f>IF(ISNUMBER(H10),2026-H10,"")</f>
        <v/>
      </c>
      <c r="J10" s="2" t="n"/>
      <c r="K10" s="3" t="n">
        <v>234</v>
      </c>
      <c r="L10" s="3" t="n">
        <v>486200</v>
      </c>
      <c r="M10" s="3" t="n">
        <v>895</v>
      </c>
      <c r="N10" s="3" t="n">
        <v>10770</v>
      </c>
      <c r="O10" s="6" t="inlineStr">
        <is>
          <t>2026-03-18</t>
        </is>
      </c>
      <c r="P10" s="2" t="inlineStr">
        <is>
          <t>6 days</t>
        </is>
      </c>
      <c r="Q10" s="5" t="n">
        <v>2557</v>
      </c>
      <c r="R10" s="5" t="n">
        <v>118</v>
      </c>
      <c r="S10" s="2" t="inlineStr">
        <is>
          <t>Luxury ranch-style condo; main-level primary suite; cathedral ceilings; skylights; solarium; quartz kitchen; rebuilt decks</t>
        </is>
      </c>
      <c r="T10" s="2" t="inlineStr">
        <is>
          <t>Turn-key ranch-style luxury condo in Steeplechase with a main-level primary suite. The home features dramatic cathedral ceilings, abundant skylights, a four-season solarium, vaulted second-floor loft, hardwood floors, fresh paint, modernized fixtures, quartz countertops, upgraded appliances, refreshed bathrooms, two rebuilt decks, new shake siding, waterproofed basement, and partially finished lower level space suitable for a game room, craft area, office, or gym.</t>
        </is>
      </c>
      <c r="U10" s="7" t="inlineStr">
        <is>
          <t>https://www.zillow.com/homedetails/41-Timberwood-Rd-UNIT-41-West-Hartford-CT-06117/2078525825_zpid/</t>
        </is>
      </c>
    </row>
    <row r="11">
      <c r="A11" s="2" t="inlineStr">
        <is>
          <t>60 Fox Chase Lane, West Hartford, CT 06107</t>
        </is>
      </c>
      <c r="B11" s="2" t="inlineStr">
        <is>
          <t>For sale</t>
        </is>
      </c>
      <c r="C11" s="3" t="n">
        <v>1249000</v>
      </c>
      <c r="D11" s="4" t="n">
        <v>5</v>
      </c>
      <c r="E11" s="4" t="n">
        <v>3</v>
      </c>
      <c r="F11" s="5" t="n">
        <v>4000</v>
      </c>
      <c r="G11" s="2" t="inlineStr">
        <is>
          <t>Single Family Residence</t>
        </is>
      </c>
      <c r="H11" s="4" t="n">
        <v>1973</v>
      </c>
      <c r="I11" s="4">
        <f>IF(ISNUMBER(H11),2026-H11,"")</f>
        <v/>
      </c>
      <c r="J11" s="2" t="inlineStr">
        <is>
          <t>0.3 Acres</t>
        </is>
      </c>
      <c r="K11" s="3" t="n">
        <v>312</v>
      </c>
      <c r="L11" s="3" t="n"/>
      <c r="M11" s="3" t="n"/>
      <c r="N11" s="3" t="n">
        <v>16818</v>
      </c>
      <c r="O11" s="6" t="inlineStr">
        <is>
          <t>2026-03-06</t>
        </is>
      </c>
      <c r="P11" s="2" t="inlineStr">
        <is>
          <t>19 days</t>
        </is>
      </c>
      <c r="Q11" s="5" t="n">
        <v>8924</v>
      </c>
      <c r="R11" s="5" t="n">
        <v>163</v>
      </c>
      <c r="S11" s="2" t="inlineStr">
        <is>
          <t>Stone fireplace; in-ground pool; pool house; patio; bright main living areas</t>
        </is>
      </c>
      <c r="T11" s="2" t="inlineStr">
        <is>
          <t>The home features 5 bedrooms and 2.5 bathrooms with a thoughtfully designed layout suited for everyday living and entertaining. Bright main living areas flow through the house, a family room with stone fireplace adds warmth and character, and outdoor amenities include an in-ground pool, pool house, and patio for additional outdoor living space.</t>
        </is>
      </c>
      <c r="U11" s="7" t="inlineStr">
        <is>
          <t>https://www.zillow.com/homedetails/60-Fox-Chase-Ln-West-Hartford-CT-06107/57778130_zpid/</t>
        </is>
      </c>
    </row>
    <row r="12">
      <c r="A12" s="2" t="inlineStr">
        <is>
          <t>75 Bloomfield Avenue, West Hartford, CT 06105</t>
        </is>
      </c>
      <c r="B12" s="2" t="inlineStr">
        <is>
          <t>For sale</t>
        </is>
      </c>
      <c r="C12" s="3" t="n">
        <v>1395000</v>
      </c>
      <c r="D12" s="4" t="n">
        <v>7</v>
      </c>
      <c r="E12" s="4" t="n">
        <v>6</v>
      </c>
      <c r="F12" s="5" t="n">
        <v>5507</v>
      </c>
      <c r="G12" s="2" t="inlineStr">
        <is>
          <t>Single Family Residence</t>
        </is>
      </c>
      <c r="H12" s="4" t="n">
        <v>1924</v>
      </c>
      <c r="I12" s="4">
        <f>IF(ISNUMBER(H12),2026-H12,"")</f>
        <v/>
      </c>
      <c r="J12" s="2" t="inlineStr">
        <is>
          <t>1.56 Acres</t>
        </is>
      </c>
      <c r="K12" s="3" t="n">
        <v>253</v>
      </c>
      <c r="L12" s="3" t="n"/>
      <c r="M12" s="3" t="n"/>
      <c r="N12" s="3" t="n">
        <v>26721</v>
      </c>
      <c r="O12" s="6" t="inlineStr">
        <is>
          <t>2026-03-05</t>
        </is>
      </c>
      <c r="P12" s="2" t="inlineStr">
        <is>
          <t>20 days</t>
        </is>
      </c>
      <c r="Q12" s="5" t="n">
        <v>5800</v>
      </c>
      <c r="R12" s="5" t="n">
        <v>220</v>
      </c>
      <c r="S12" s="2" t="inlineStr">
        <is>
          <t>Brick Colonial; heated in-ground pool; renovated island kitchen; Viking/Subzero appliances; custom built-ins; fenced yard</t>
        </is>
      </c>
      <c r="T12" s="2" t="inlineStr">
        <is>
          <t>Spectacular 1924 brick Colonial tucked away on a private lane off Bloomfield Avenue. The home blends timeless architecture with versatile living spaces, including a gracious foyer, sweeping staircase, expansive patio with stone walls, 1.5-acre landscaped property with heated in-ground pool, custom built-ins, wood-burning fireplace, formal dining room, and beautifully renovated island kitchen with Viking and Subzero appliances, white cabinetry, walk-in pantry, and quartz plus granite countertops.</t>
        </is>
      </c>
      <c r="U12" s="7" t="inlineStr">
        <is>
          <t>https://www.zillow.com/homedetails/75-Bloomfield-Ave-West-Hartford-CT-06105/57775324_zpid/</t>
        </is>
      </c>
    </row>
    <row r="13">
      <c r="A13" s="2" t="inlineStr">
        <is>
          <t>342 S Main Street, West Hartford, CT 06107</t>
        </is>
      </c>
      <c r="B13" s="2" t="inlineStr">
        <is>
          <t>For sale (price cut 3/24)</t>
        </is>
      </c>
      <c r="C13" s="3" t="n">
        <v>589000</v>
      </c>
      <c r="D13" s="4" t="n">
        <v>3</v>
      </c>
      <c r="E13" s="4" t="n">
        <v>2</v>
      </c>
      <c r="F13" s="5" t="n">
        <v>1837</v>
      </c>
      <c r="G13" s="2" t="inlineStr">
        <is>
          <t>Single Family Residence</t>
        </is>
      </c>
      <c r="H13" s="4" t="n">
        <v>1940</v>
      </c>
      <c r="I13" s="4">
        <f>IF(ISNUMBER(H13),2026-H13,"")</f>
        <v/>
      </c>
      <c r="J13" s="2" t="inlineStr">
        <is>
          <t>9,147.6 sq ft</t>
        </is>
      </c>
      <c r="K13" s="3" t="n">
        <v>321</v>
      </c>
      <c r="L13" s="3" t="n">
        <v>613600</v>
      </c>
      <c r="M13" s="3" t="n"/>
      <c r="N13" s="3" t="n">
        <v>9606</v>
      </c>
      <c r="O13" s="6" t="inlineStr">
        <is>
          <t>2026-02-07</t>
        </is>
      </c>
      <c r="P13" s="2" t="inlineStr">
        <is>
          <t>46 days</t>
        </is>
      </c>
      <c r="Q13" s="5" t="n">
        <v>4439</v>
      </c>
      <c r="R13" s="5" t="n">
        <v>101</v>
      </c>
      <c r="S13" s="2" t="inlineStr">
        <is>
          <t>Cape Cod styling; Doric columns; crown moldings; built-ins; solar panels; attached garage</t>
        </is>
      </c>
      <c r="T13" s="2" t="inlineStr">
        <is>
          <t>A classic New England Cape Cod with treble dog house dormers and more character than expected inside. The home features warm wood floors, graceful Doric columns, crown moldings, and thoughtful built-ins. Recent solar panels help reduce electric bills, and the listing highlights attached garage parking plus quality millwork and solid wood doors.</t>
        </is>
      </c>
      <c r="U13" s="7" t="inlineStr">
        <is>
          <t>https://www.zillow.com/homedetails/342-S-Main-St-West-Hartford-CT-06107/58156844_zpid/</t>
        </is>
      </c>
    </row>
    <row r="14">
      <c r="A14" s="2" t="inlineStr">
        <is>
          <t>19 Westfield Road, West Hartford, CT 06119</t>
        </is>
      </c>
      <c r="B14" s="2" t="inlineStr">
        <is>
          <t>Coming soon 04/01</t>
        </is>
      </c>
      <c r="C14" s="3" t="n">
        <v>525000</v>
      </c>
      <c r="D14" s="4" t="n">
        <v>4</v>
      </c>
      <c r="E14" s="4" t="n">
        <v>2</v>
      </c>
      <c r="F14" s="5" t="n">
        <v>1800</v>
      </c>
      <c r="G14" s="2" t="inlineStr">
        <is>
          <t>Single Family Residence</t>
        </is>
      </c>
      <c r="H14" s="4" t="n">
        <v>1921</v>
      </c>
      <c r="I14" s="4">
        <f>IF(ISNUMBER(H14),2026-H14,"")</f>
        <v/>
      </c>
      <c r="J14" s="2" t="inlineStr">
        <is>
          <t>8,276.4 sq ft</t>
        </is>
      </c>
      <c r="K14" s="3" t="n">
        <v>292</v>
      </c>
      <c r="L14" s="3" t="n"/>
      <c r="M14" s="3" t="n"/>
      <c r="N14" s="3" t="n">
        <v>10260</v>
      </c>
      <c r="O14" s="6" t="inlineStr">
        <is>
          <t>2026-03-25</t>
        </is>
      </c>
      <c r="P14" s="2" t="inlineStr">
        <is>
          <t>2 hours</t>
        </is>
      </c>
      <c r="Q14" s="5" t="n">
        <v>675</v>
      </c>
      <c r="R14" s="5" t="n">
        <v>50</v>
      </c>
      <c r="S14" s="2" t="inlineStr">
        <is>
          <t>Walkable location; 2 fireplaces; beautiful landscaping; entertaining backyard</t>
        </is>
      </c>
      <c r="T14" s="2" t="inlineStr">
        <is>
          <t>Located in a walkable part of West Hartford near West Hartford Center, Blue Back Square, Elizabeth Park, and Fernridge Park. The listing describes Westfield Road as a charming street of similar Colonial homes. The property offers 4 bedrooms, 2 fireplaces, beautiful landscaping, and a backyard made for entertaining.</t>
        </is>
      </c>
      <c r="U14" s="7" t="inlineStr">
        <is>
          <t>https://www.zillow.com/homedetails/19-Westfield-Rd-West-Hartford-CT-06119/57785049_zpid/</t>
        </is>
      </c>
    </row>
  </sheetData>
  <autoFilter ref="A1:U14"/>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s>
  <pageMargins left="0.75" right="0.75" top="1" bottom="1" header="0.5" footer="0.5"/>
  <tableParts count="1">
    <tablePart xmlns:r="http://schemas.openxmlformats.org/officeDocument/2006/relationships" r:id="rId14"/>
  </tableParts>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6" customWidth="1" min="2" max="2"/>
  </cols>
  <sheetData>
    <row r="1">
      <c r="A1" s="8" t="inlineStr">
        <is>
          <t>West Hartford Zillow Database</t>
        </is>
      </c>
      <c r="B1" s="2" t="n"/>
    </row>
    <row r="2">
      <c r="A2" s="2" t="inlineStr">
        <is>
          <t>Compiled from user-provided Zillow listing URLs</t>
        </is>
      </c>
      <c r="B2" s="2" t="n"/>
    </row>
    <row r="3">
      <c r="A3" s="2" t="inlineStr">
        <is>
          <t>Snapshot date</t>
        </is>
      </c>
      <c r="B3" s="2" t="inlineStr">
        <is>
          <t>2026-03-25</t>
        </is>
      </c>
    </row>
    <row r="4">
      <c r="A4" s="2" t="n"/>
      <c r="B4" s="2" t="n"/>
    </row>
    <row r="5">
      <c r="A5" s="9" t="inlineStr">
        <is>
          <t>Metric</t>
        </is>
      </c>
      <c r="B5" s="9" t="inlineStr">
        <is>
          <t>Value</t>
        </is>
      </c>
    </row>
    <row r="6">
      <c r="A6" s="2" t="inlineStr">
        <is>
          <t>Listing count</t>
        </is>
      </c>
      <c r="B6" s="2">
        <f>ROWS(Listings!A2:A14)</f>
        <v/>
      </c>
    </row>
    <row r="7">
      <c r="A7" s="2" t="inlineStr">
        <is>
          <t>Average price</t>
        </is>
      </c>
      <c r="B7" s="3">
        <f>AVERAGE(Listings!C2:C14)</f>
        <v/>
      </c>
    </row>
    <row r="8">
      <c r="A8" s="2" t="inlineStr">
        <is>
          <t>Median price</t>
        </is>
      </c>
      <c r="B8" s="3">
        <f>MEDIAN(Listings!C2:C14)</f>
        <v/>
      </c>
    </row>
    <row r="9">
      <c r="A9" s="2" t="inlineStr">
        <is>
          <t>Average beds</t>
        </is>
      </c>
      <c r="B9" s="10">
        <f>AVERAGE(Listings!D2:D14)</f>
        <v/>
      </c>
    </row>
    <row r="10">
      <c r="A10" s="2" t="inlineStr">
        <is>
          <t>Average baths</t>
        </is>
      </c>
      <c r="B10" s="10">
        <f>AVERAGE(Listings!E2:E14)</f>
        <v/>
      </c>
    </row>
    <row r="11">
      <c r="A11" s="2" t="inlineStr">
        <is>
          <t>Average sqft</t>
        </is>
      </c>
      <c r="B11" s="5">
        <f>AVERAGE(Listings!F2:F14)</f>
        <v/>
      </c>
    </row>
    <row r="12">
      <c r="A12" s="2" t="inlineStr">
        <is>
          <t>Average age</t>
        </is>
      </c>
      <c r="B12" s="10">
        <f>AVERAGE(Listings!I2:I14)</f>
        <v/>
      </c>
    </row>
    <row r="13">
      <c r="A13" s="2" t="inlineStr">
        <is>
          <t>Average annual taxes</t>
        </is>
      </c>
      <c r="B13" s="3">
        <f>AVERAGE(Listings!N2:N14)</f>
        <v/>
      </c>
    </row>
    <row r="14">
      <c r="A14" s="2" t="inlineStr">
        <is>
          <t>Average price/sqft</t>
        </is>
      </c>
      <c r="B14" s="3">
        <f>AVERAGE(Listings!K2:K14)</f>
        <v/>
      </c>
    </row>
    <row r="15">
      <c r="A15" s="2" t="n"/>
      <c r="B15" s="2" t="n"/>
    </row>
    <row r="16">
      <c r="A16" s="2" t="inlineStr">
        <is>
          <t>Notes</t>
        </is>
      </c>
      <c r="B16" s="2" t="n"/>
    </row>
    <row r="17">
      <c r="A17" s="2" t="inlineStr">
        <is>
          <t>House Age uses 2026 - Year Built.</t>
        </is>
      </c>
      <c r="B17" s="2" t="n"/>
    </row>
    <row r="18">
      <c r="A18" s="2" t="inlineStr">
        <is>
          <t>Some Zillow descriptions were truncated in the parsed webpage output; those rows were summarized from available text.</t>
        </is>
      </c>
      <c r="B18" s="2" t="n"/>
    </row>
    <row r="19">
      <c r="A19" s="2" t="inlineStr">
        <is>
          <t>Source URL column links back to each original Zillow page.</t>
        </is>
      </c>
      <c r="B19" s="2" t="n"/>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2026-03-25T22:09:39Z</dcterms:created>
  <dcterms:modified xmlns:dcterms="http://purl.org/dc/terms/" xmlns:xsi="http://www.w3.org/2001/XMLSchema-instance" xsi:type="dcterms:W3CDTF">2026-03-25T22:09:39Z</dcterms:modified>
</cp:coreProperties>
</file>